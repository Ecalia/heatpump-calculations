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calia-my.sharepoint.com/personal/michael_ilewicz_ecalia_de/Documents/Documents/GitHub/heatpump-calculations/output/"/>
    </mc:Choice>
  </mc:AlternateContent>
  <xr:revisionPtr revIDLastSave="21" documentId="11_503900FCF613C816C7749C874FF6F92A7552CAB0" xr6:coauthVersionLast="47" xr6:coauthVersionMax="47" xr10:uidLastSave="{FAC38D1A-A313-4AA5-B7A2-172B06B6236C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2" i="1"/>
  <c r="B23" i="1"/>
  <c r="C23" i="1"/>
  <c r="C22" i="1"/>
  <c r="C21" i="1"/>
</calcChain>
</file>

<file path=xl/sharedStrings.xml><?xml version="1.0" encoding="utf-8"?>
<sst xmlns="http://schemas.openxmlformats.org/spreadsheetml/2006/main" count="23" uniqueCount="23">
  <si>
    <t>regular Heatpump energy consumption [kWh/year]</t>
  </si>
  <si>
    <t>regular Heatpump CO2 emissions [kg/year]</t>
  </si>
  <si>
    <t>improved Heatpump energy consumption [kWh/year]</t>
  </si>
  <si>
    <t>improved Heatpump CO2 emissions [kg/year]</t>
  </si>
  <si>
    <t>relative energy savings [%]</t>
  </si>
  <si>
    <t>relative CO2 savings [%]</t>
  </si>
  <si>
    <t>relative cost savings [%]</t>
  </si>
  <si>
    <t>relative savings compared to gas heating [%]</t>
  </si>
  <si>
    <t>absolute energy savings [kWh/year]</t>
  </si>
  <si>
    <t>absolute CO2 savings [kg/year]</t>
  </si>
  <si>
    <t>absolute cost savings [€/year]</t>
  </si>
  <si>
    <t>absolute savings compared to gas heating [€/year]</t>
  </si>
  <si>
    <t>specific heating demand [kWh/year]</t>
  </si>
  <si>
    <t>heating area [m²]</t>
  </si>
  <si>
    <t>heat demand [kWh/year]</t>
  </si>
  <si>
    <t>heating temperature [°C]</t>
  </si>
  <si>
    <t>electricity_cost [€/kWh_el]</t>
  </si>
  <si>
    <t>gas_cost [€/kWh_th]</t>
  </si>
  <si>
    <t>New homes</t>
  </si>
  <si>
    <t>Renovations</t>
  </si>
  <si>
    <t>regular Heat Pump COP</t>
  </si>
  <si>
    <t>improved Heatpump COP</t>
  </si>
  <si>
    <t>COP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</si>
</sst>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F25" sqref="F25"/>
    </sheetView>
  </sheetViews>
  <sheetFormatPr baseColWidth="10" defaultColWidth="8.88671875" defaultRowHeight="14.4" x14ac:dyDescent="0.3"/>
  <cols>
    <col min="1" max="1" width="45.21875" customWidth="1"/>
    <col min="2" max="2" width="13.88671875" customWidth="1"/>
  </cols>
  <sheetData>
    <row r="1" spans="1:3" x14ac:dyDescent="0.3">
      <c r="A1" s="1">
        <v>0</v>
      </c>
      <c r="B1" s="1">
        <v>1</v>
      </c>
      <c r="C1" s="1">
        <v>2</v>
      </c>
    </row>
    <row r="2" spans="1:3" x14ac:dyDescent="0.3">
      <c r="B2" t="s">
        <v>18</v>
      </c>
      <c r="C2" t="s">
        <v>19</v>
      </c>
    </row>
    <row r="3" spans="1:3" x14ac:dyDescent="0.3">
      <c r="A3" t="s">
        <v>0</v>
      </c>
      <c r="B3">
        <v>1187.79</v>
      </c>
      <c r="C3">
        <v>7355.18</v>
      </c>
    </row>
    <row r="4" spans="1:3" x14ac:dyDescent="0.3">
      <c r="A4" t="s">
        <v>1</v>
      </c>
      <c r="B4">
        <v>448.07</v>
      </c>
      <c r="C4">
        <v>2773.91</v>
      </c>
    </row>
    <row r="5" spans="1:3" x14ac:dyDescent="0.3">
      <c r="A5" t="s">
        <v>2</v>
      </c>
      <c r="B5">
        <v>1035.04</v>
      </c>
      <c r="C5">
        <v>5756</v>
      </c>
    </row>
    <row r="6" spans="1:3" x14ac:dyDescent="0.3">
      <c r="A6" t="s">
        <v>3</v>
      </c>
      <c r="B6">
        <v>390.43</v>
      </c>
      <c r="C6">
        <v>2170.71</v>
      </c>
    </row>
    <row r="7" spans="1:3" x14ac:dyDescent="0.3">
      <c r="A7" t="s">
        <v>4</v>
      </c>
      <c r="B7">
        <v>12.86</v>
      </c>
      <c r="C7">
        <v>21.74</v>
      </c>
    </row>
    <row r="8" spans="1:3" x14ac:dyDescent="0.3">
      <c r="A8" t="s">
        <v>5</v>
      </c>
      <c r="B8">
        <v>12.86</v>
      </c>
      <c r="C8">
        <v>21.75</v>
      </c>
    </row>
    <row r="9" spans="1:3" x14ac:dyDescent="0.3">
      <c r="A9" t="s">
        <v>6</v>
      </c>
      <c r="B9">
        <v>12.86</v>
      </c>
      <c r="C9">
        <v>21.74</v>
      </c>
    </row>
    <row r="10" spans="1:3" x14ac:dyDescent="0.3">
      <c r="A10" t="s">
        <v>7</v>
      </c>
      <c r="B10">
        <v>40.619999999999997</v>
      </c>
      <c r="C10">
        <v>9.94</v>
      </c>
    </row>
    <row r="11" spans="1:3" x14ac:dyDescent="0.3">
      <c r="A11" t="s">
        <v>8</v>
      </c>
      <c r="B11">
        <v>152.75</v>
      </c>
      <c r="C11">
        <v>1599.18</v>
      </c>
    </row>
    <row r="12" spans="1:3" x14ac:dyDescent="0.3">
      <c r="A12" t="s">
        <v>9</v>
      </c>
      <c r="B12">
        <v>57.64</v>
      </c>
      <c r="C12">
        <v>603.21</v>
      </c>
    </row>
    <row r="13" spans="1:3" x14ac:dyDescent="0.3">
      <c r="A13" t="s">
        <v>10</v>
      </c>
      <c r="B13">
        <v>61.1</v>
      </c>
      <c r="C13">
        <v>639.66999999999996</v>
      </c>
    </row>
    <row r="14" spans="1:3" x14ac:dyDescent="0.3">
      <c r="A14" t="s">
        <v>11</v>
      </c>
      <c r="B14">
        <v>283.22000000000003</v>
      </c>
      <c r="C14">
        <v>254.11</v>
      </c>
    </row>
    <row r="15" spans="1:3" x14ac:dyDescent="0.3">
      <c r="A15" t="s">
        <v>12</v>
      </c>
      <c r="B15">
        <v>30</v>
      </c>
      <c r="C15">
        <v>110</v>
      </c>
    </row>
    <row r="16" spans="1:3" x14ac:dyDescent="0.3">
      <c r="A16" t="s">
        <v>13</v>
      </c>
      <c r="B16">
        <v>183</v>
      </c>
      <c r="C16">
        <v>183</v>
      </c>
    </row>
    <row r="17" spans="1:3" x14ac:dyDescent="0.3">
      <c r="A17" t="s">
        <v>14</v>
      </c>
      <c r="B17">
        <v>5490</v>
      </c>
      <c r="C17">
        <v>20130</v>
      </c>
    </row>
    <row r="18" spans="1:3" x14ac:dyDescent="0.3">
      <c r="A18" t="s">
        <v>15</v>
      </c>
      <c r="B18">
        <v>40</v>
      </c>
      <c r="C18">
        <v>65</v>
      </c>
    </row>
    <row r="19" spans="1:3" x14ac:dyDescent="0.3">
      <c r="A19" t="s">
        <v>16</v>
      </c>
      <c r="B19">
        <v>0.4</v>
      </c>
    </row>
    <row r="20" spans="1:3" x14ac:dyDescent="0.3">
      <c r="A20" t="s">
        <v>17</v>
      </c>
      <c r="B20">
        <v>0.13</v>
      </c>
    </row>
    <row r="21" spans="1:3" x14ac:dyDescent="0.3">
      <c r="A21" t="s">
        <v>20</v>
      </c>
      <c r="B21">
        <f>B17/B3</f>
        <v>4.6220291465663124</v>
      </c>
      <c r="C21">
        <f>C17/C3</f>
        <v>2.7368466849213751</v>
      </c>
    </row>
    <row r="22" spans="1:3" x14ac:dyDescent="0.3">
      <c r="A22" t="s">
        <v>21</v>
      </c>
      <c r="B22">
        <f>B17/B5</f>
        <v>5.3041428350595146</v>
      </c>
      <c r="C22">
        <f>C17/C5</f>
        <v>3.4972202918693536</v>
      </c>
    </row>
    <row r="23" spans="1:3" x14ac:dyDescent="0.3">
      <c r="A23" t="s">
        <v>22</v>
      </c>
      <c r="B23">
        <f>B22/B21-1</f>
        <v>0.14757883753284884</v>
      </c>
      <c r="C23">
        <f>C22/C21-1</f>
        <v>0.27782835302293263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Michael Ilewicz</cp:lastModifiedBy>
  <dcterms:created xsi:type="dcterms:W3CDTF">2023-10-23T07:27:55Z</dcterms:created>
  <dcterms:modified xsi:type="dcterms:W3CDTF">2025-01-28T10:16:07Z</dcterms:modified>
</cp:coreProperties>
</file>